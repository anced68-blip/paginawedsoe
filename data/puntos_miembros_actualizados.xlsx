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O\Documents\"/>
    </mc:Choice>
  </mc:AlternateContent>
  <xr:revisionPtr revIDLastSave="0" documentId="8_{7E55F17E-D21D-4735-A50A-EBAF05A67875}" xr6:coauthVersionLast="47" xr6:coauthVersionMax="47" xr10:uidLastSave="{00000000-0000-0000-0000-000000000000}"/>
  <bookViews>
    <workbookView xWindow="-108" yWindow="-108" windowWidth="23256" windowHeight="12456" xr2:uid="{CFE407EF-9493-4BD8-A5B9-E5B04E139A5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5" i="1"/>
  <c r="AA3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AA18" i="1"/>
  <c r="AA17" i="1"/>
  <c r="AA16" i="1"/>
  <c r="AA15" i="1"/>
  <c r="AA14" i="1"/>
  <c r="AA13" i="1"/>
  <c r="AA12" i="1"/>
  <c r="AA10" i="1"/>
  <c r="AA9" i="1"/>
  <c r="AA8" i="1"/>
  <c r="AA7" i="1"/>
  <c r="AA6" i="1"/>
  <c r="AA5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H18" i="1"/>
  <c r="H3" i="1"/>
  <c r="H4" i="1"/>
  <c r="H5" i="1"/>
  <c r="BJ5" i="1" s="1"/>
  <c r="H6" i="1"/>
  <c r="H7" i="1"/>
  <c r="H8" i="1"/>
  <c r="BJ8" i="1" s="1"/>
  <c r="H9" i="1"/>
  <c r="H10" i="1"/>
  <c r="H11" i="1"/>
  <c r="H12" i="1"/>
  <c r="H13" i="1"/>
  <c r="H14" i="1"/>
  <c r="H15" i="1"/>
  <c r="H16" i="1"/>
  <c r="H17" i="1"/>
  <c r="G39" i="1" l="1"/>
  <c r="G25" i="1"/>
  <c r="G31" i="1"/>
  <c r="G30" i="1"/>
  <c r="G28" i="1"/>
  <c r="G27" i="1"/>
  <c r="G35" i="1"/>
  <c r="G34" i="1"/>
  <c r="BJ15" i="1"/>
  <c r="BJ10" i="1"/>
  <c r="G32" i="1"/>
  <c r="G37" i="1"/>
  <c r="G29" i="1"/>
  <c r="G38" i="1"/>
  <c r="BJ9" i="1"/>
  <c r="BJ6" i="1"/>
  <c r="BJ17" i="1"/>
  <c r="BJ16" i="1"/>
  <c r="G36" i="1"/>
  <c r="BJ3" i="1"/>
  <c r="BJ7" i="1"/>
  <c r="G26" i="1"/>
  <c r="G33" i="1"/>
  <c r="BJ11" i="1"/>
  <c r="G40" i="1"/>
  <c r="BJ4" i="1"/>
  <c r="BJ14" i="1"/>
  <c r="BJ13" i="1"/>
  <c r="BJ12" i="1"/>
  <c r="BJ18" i="1"/>
</calcChain>
</file>

<file path=xl/sharedStrings.xml><?xml version="1.0" encoding="utf-8"?>
<sst xmlns="http://schemas.openxmlformats.org/spreadsheetml/2006/main" count="236" uniqueCount="38">
  <si>
    <t>TALLER DE LIDERAZGO 28/03</t>
  </si>
  <si>
    <t>DIA DEL NIÑO 11/04</t>
  </si>
  <si>
    <t>GLASSWALKING 18/04</t>
  </si>
  <si>
    <t>LIMPIEZA A AL CASA DE LOS NIÑOS 25/04</t>
  </si>
  <si>
    <t xml:space="preserve"> UN PASEO POR LA CASCADA 09/05</t>
  </si>
  <si>
    <t>DOMINA TU MENTE-QUIZ GAME 16/05</t>
  </si>
  <si>
    <t>REUNION BIENESTAR SOCIAL 23/05</t>
  </si>
  <si>
    <t>EVENTO DEL DECIMO ANIVERSARIO 30/05</t>
  </si>
  <si>
    <t>miembros</t>
  </si>
  <si>
    <t>activos</t>
  </si>
  <si>
    <t>Puntualidad</t>
  </si>
  <si>
    <t xml:space="preserve">compromiso </t>
  </si>
  <si>
    <t xml:space="preserve">participacion </t>
  </si>
  <si>
    <t>extras/aportes</t>
  </si>
  <si>
    <t>comportamiento</t>
  </si>
  <si>
    <t xml:space="preserve">total </t>
  </si>
  <si>
    <t>total final</t>
  </si>
  <si>
    <t>Alejandra Valeria Alvarez Tejada</t>
  </si>
  <si>
    <t>Lizbeth Yetzebel Ortuño Diaz</t>
  </si>
  <si>
    <t>Jose David Gumucio</t>
  </si>
  <si>
    <t>Alexis Fernando López Rojas</t>
  </si>
  <si>
    <t>Castedo Romero Sigrid Alieska</t>
  </si>
  <si>
    <t>Héctor Colque</t>
  </si>
  <si>
    <t>Angely Aranibar Jorge</t>
  </si>
  <si>
    <t>Alison Belén Pizarro</t>
  </si>
  <si>
    <t>Óscar Manuel Zorrilla Cáceres</t>
  </si>
  <si>
    <t>Amparo Milena Vega Cardenas</t>
  </si>
  <si>
    <t>Yostin Choquecallata Cerrogrande</t>
  </si>
  <si>
    <t>Alexander Jesus Salvatierra Maydana</t>
  </si>
  <si>
    <t>Andres Farid Ignacio Ramirez</t>
  </si>
  <si>
    <t>Yessy Michel Mamani Solano</t>
  </si>
  <si>
    <t>Tatiana Araceyl Vargas Boyan</t>
  </si>
  <si>
    <t>Linda Nelva Tovar</t>
  </si>
  <si>
    <t xml:space="preserve">TOTALES </t>
  </si>
  <si>
    <t xml:space="preserve">TOTAL PUNTOS </t>
  </si>
  <si>
    <t>MIENBROS</t>
  </si>
  <si>
    <t xml:space="preserve">MIENBRO </t>
  </si>
  <si>
    <t>COMICON SOE  13/06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</si>
</sst>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434343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/>
    <xf numFmtId="0" fontId="1" fillId="2" borderId="1" xfId="1" applyBorder="1" applyAlignment="1">
      <alignment vertical="center" wrapText="1"/>
    </xf>
    <xf numFmtId="0" fontId="1" fillId="2" borderId="1" xfId="1" applyBorder="1"/>
    <xf numFmtId="0" fontId="2" fillId="4" borderId="0" xfId="0" applyFont="1" applyFill="1" applyAlignment="1">
      <alignment vertical="center" wrapText="1"/>
    </xf>
    <xf numFmtId="0" fontId="1" fillId="6" borderId="1" xfId="1" applyFill="1" applyBorder="1" applyAlignment="1">
      <alignment vertical="center" wrapText="1"/>
    </xf>
    <xf numFmtId="0" fontId="1" fillId="2" borderId="1" xfId="1" applyBorder="1" applyAlignment="1">
      <alignment horizontal="center" vertical="center" wrapText="1"/>
    </xf>
    <xf numFmtId="0" fontId="1" fillId="8" borderId="1" xfId="1" applyFill="1" applyBorder="1"/>
    <xf numFmtId="0" fontId="0" fillId="8" borderId="1" xfId="0" applyFill="1" applyBorder="1"/>
    <xf numFmtId="0" fontId="1" fillId="2" borderId="2" xfId="1" applyBorder="1"/>
    <xf numFmtId="0" fontId="2" fillId="9" borderId="1" xfId="0" applyFont="1" applyFill="1" applyBorder="1" applyAlignment="1">
      <alignment vertical="center" wrapText="1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10" borderId="1" xfId="0" applyFont="1" applyFill="1" applyBorder="1"/>
    <xf numFmtId="0" fontId="0" fillId="10" borderId="1" xfId="0" applyFill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6446-8577-4CF1-B203-953C9C82CCE9}">
  <dimension ref="A1:BK40"/>
  <sheetViews>
    <sheetView tabSelected="1" topLeftCell="A16" zoomScaleNormal="100" workbookViewId="0">
      <selection activeCell="F25" sqref="F25:F40"/>
    </sheetView>
  </sheetViews>
  <sheetFormatPr baseColWidth="10" defaultColWidth="11.44140625" defaultRowHeight="14.4" x14ac:dyDescent="0.3"/>
  <cols>
    <col min="1" max="1" width="40.88671875" customWidth="1"/>
    <col min="3" max="3" width="13.109375" bestFit="1" customWidth="1"/>
    <col min="4" max="4" width="13.6640625" bestFit="1" customWidth="1"/>
    <col min="5" max="5" width="14.5546875" bestFit="1" customWidth="1"/>
    <col min="6" max="6" width="15.5546875" bestFit="1" customWidth="1"/>
    <col min="7" max="7" width="18.33203125" bestFit="1" customWidth="1"/>
    <col min="8" max="8" width="6.5546875" bestFit="1" customWidth="1"/>
    <col min="9" max="9" width="13.33203125" bestFit="1" customWidth="1"/>
    <col min="10" max="10" width="13.6640625" bestFit="1" customWidth="1"/>
    <col min="11" max="11" width="14.5546875" customWidth="1"/>
    <col min="12" max="12" width="15.5546875" bestFit="1" customWidth="1"/>
    <col min="13" max="13" width="17.44140625" bestFit="1" customWidth="1"/>
    <col min="14" max="14" width="42.6640625" customWidth="1"/>
    <col min="15" max="15" width="13.109375" bestFit="1" customWidth="1"/>
    <col min="16" max="16" width="13.6640625" bestFit="1" customWidth="1"/>
    <col min="17" max="17" width="14.5546875" bestFit="1" customWidth="1"/>
    <col min="18" max="18" width="15.5546875" bestFit="1" customWidth="1"/>
    <col min="19" max="19" width="17.44140625" bestFit="1" customWidth="1"/>
    <col min="20" max="20" width="6.5546875" bestFit="1" customWidth="1"/>
    <col min="21" max="21" width="44.44140625" customWidth="1"/>
    <col min="22" max="22" width="13.109375" bestFit="1" customWidth="1"/>
    <col min="23" max="23" width="13.6640625" bestFit="1" customWidth="1"/>
    <col min="24" max="24" width="14.5546875" bestFit="1" customWidth="1"/>
    <col min="25" max="25" width="15.5546875" bestFit="1" customWidth="1"/>
    <col min="26" max="26" width="17.44140625" bestFit="1" customWidth="1"/>
    <col min="28" max="28" width="41.88671875" customWidth="1"/>
    <col min="34" max="34" width="40.33203125" customWidth="1"/>
    <col min="40" max="40" width="37.77734375" customWidth="1"/>
    <col min="46" max="46" width="42.88671875" customWidth="1"/>
    <col min="53" max="53" width="40.5546875" customWidth="1"/>
  </cols>
  <sheetData>
    <row r="1" spans="1:63" ht="15" customHeight="1" x14ac:dyDescent="0.3">
      <c r="A1" s="8"/>
      <c r="B1" s="5"/>
      <c r="C1" s="14" t="s">
        <v>0</v>
      </c>
      <c r="D1" s="14"/>
      <c r="E1" s="14"/>
      <c r="F1" s="14"/>
      <c r="G1" s="14"/>
      <c r="H1" s="14"/>
      <c r="I1" s="14" t="s">
        <v>1</v>
      </c>
      <c r="J1" s="14"/>
      <c r="K1" s="14"/>
      <c r="L1" s="14"/>
      <c r="M1" s="14"/>
      <c r="N1" s="14"/>
      <c r="O1" s="14" t="s">
        <v>2</v>
      </c>
      <c r="P1" s="14"/>
      <c r="Q1" s="14"/>
      <c r="R1" s="14"/>
      <c r="S1" s="14"/>
      <c r="T1" s="14"/>
      <c r="U1" s="9"/>
      <c r="V1" s="14" t="s">
        <v>3</v>
      </c>
      <c r="W1" s="14"/>
      <c r="X1" s="14"/>
      <c r="Y1" s="14"/>
      <c r="Z1" s="14"/>
      <c r="AA1" s="14"/>
      <c r="AB1" s="9"/>
      <c r="AC1" s="14" t="s">
        <v>4</v>
      </c>
      <c r="AD1" s="14"/>
      <c r="AE1" s="14"/>
      <c r="AF1" s="14"/>
      <c r="AG1" s="14"/>
      <c r="AH1" s="14"/>
      <c r="AI1" s="14" t="s">
        <v>5</v>
      </c>
      <c r="AJ1" s="14"/>
      <c r="AK1" s="14"/>
      <c r="AL1" s="14"/>
      <c r="AM1" s="14"/>
      <c r="AN1" s="14"/>
      <c r="AO1" s="14" t="s">
        <v>6</v>
      </c>
      <c r="AP1" s="14"/>
      <c r="AQ1" s="14"/>
      <c r="AR1" s="14"/>
      <c r="AS1" s="14"/>
      <c r="AT1" s="14"/>
      <c r="AU1" s="14" t="s">
        <v>7</v>
      </c>
      <c r="AV1" s="14"/>
      <c r="AW1" s="14"/>
      <c r="AX1" s="14"/>
      <c r="AY1" s="14"/>
      <c r="AZ1" s="14"/>
      <c r="BB1" s="14" t="s">
        <v>37</v>
      </c>
      <c r="BC1" s="14"/>
      <c r="BD1" s="14"/>
      <c r="BE1" s="14"/>
      <c r="BF1" s="14"/>
      <c r="BG1" s="14"/>
      <c r="BJ1" s="15"/>
      <c r="BK1" s="15"/>
    </row>
    <row r="2" spans="1:63" x14ac:dyDescent="0.3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35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10" t="s">
        <v>15</v>
      </c>
      <c r="U2" s="5" t="s">
        <v>8</v>
      </c>
      <c r="V2" s="6" t="s">
        <v>10</v>
      </c>
      <c r="W2" s="6" t="s">
        <v>11</v>
      </c>
      <c r="X2" s="6" t="s">
        <v>12</v>
      </c>
      <c r="Y2" s="6" t="s">
        <v>13</v>
      </c>
      <c r="Z2" s="6" t="s">
        <v>14</v>
      </c>
      <c r="AA2" s="10" t="s">
        <v>15</v>
      </c>
      <c r="AB2" s="5" t="s">
        <v>8</v>
      </c>
      <c r="AC2" s="6" t="s">
        <v>10</v>
      </c>
      <c r="AD2" s="6" t="s">
        <v>11</v>
      </c>
      <c r="AE2" s="6" t="s">
        <v>12</v>
      </c>
      <c r="AF2" s="6" t="s">
        <v>13</v>
      </c>
      <c r="AG2" s="6" t="s">
        <v>14</v>
      </c>
      <c r="AH2" s="6" t="s">
        <v>35</v>
      </c>
      <c r="AI2" s="6" t="s">
        <v>10</v>
      </c>
      <c r="AJ2" s="6" t="s">
        <v>11</v>
      </c>
      <c r="AK2" s="6" t="s">
        <v>12</v>
      </c>
      <c r="AL2" s="6" t="s">
        <v>13</v>
      </c>
      <c r="AM2" s="6" t="s">
        <v>14</v>
      </c>
      <c r="AN2" s="6" t="s">
        <v>36</v>
      </c>
      <c r="AO2" s="6" t="s">
        <v>10</v>
      </c>
      <c r="AP2" s="6" t="s">
        <v>11</v>
      </c>
      <c r="AQ2" s="6" t="s">
        <v>12</v>
      </c>
      <c r="AR2" s="6" t="s">
        <v>13</v>
      </c>
      <c r="AS2" s="6" t="s">
        <v>14</v>
      </c>
      <c r="AT2" s="6" t="s">
        <v>35</v>
      </c>
      <c r="AU2" s="6" t="s">
        <v>10</v>
      </c>
      <c r="AV2" s="6" t="s">
        <v>11</v>
      </c>
      <c r="AW2" s="6" t="s">
        <v>12</v>
      </c>
      <c r="AX2" s="6" t="s">
        <v>13</v>
      </c>
      <c r="AY2" s="6" t="s">
        <v>14</v>
      </c>
      <c r="AZ2" s="6" t="s">
        <v>15</v>
      </c>
      <c r="BA2" s="6" t="s">
        <v>35</v>
      </c>
      <c r="BB2" s="6" t="s">
        <v>10</v>
      </c>
      <c r="BC2" s="6" t="s">
        <v>11</v>
      </c>
      <c r="BD2" s="6" t="s">
        <v>12</v>
      </c>
      <c r="BE2" s="6" t="s">
        <v>13</v>
      </c>
      <c r="BF2" s="6" t="s">
        <v>14</v>
      </c>
      <c r="BG2" s="6" t="s">
        <v>15</v>
      </c>
      <c r="BJ2" s="15" t="s">
        <v>16</v>
      </c>
      <c r="BK2" s="15"/>
    </row>
    <row r="3" spans="1:63" ht="15" x14ac:dyDescent="0.3">
      <c r="A3" s="2" t="s">
        <v>17</v>
      </c>
      <c r="B3" s="4" t="s">
        <v>9</v>
      </c>
      <c r="C3" s="1">
        <v>5</v>
      </c>
      <c r="D3" s="1">
        <v>10</v>
      </c>
      <c r="E3" s="1">
        <v>25</v>
      </c>
      <c r="F3" s="1">
        <v>0</v>
      </c>
      <c r="G3" s="1">
        <v>15</v>
      </c>
      <c r="H3" s="1">
        <f>SUM(C3:G3)</f>
        <v>55</v>
      </c>
      <c r="I3" s="1">
        <v>25</v>
      </c>
      <c r="J3" s="1">
        <v>25</v>
      </c>
      <c r="K3" s="1">
        <v>25</v>
      </c>
      <c r="L3" s="1">
        <v>10</v>
      </c>
      <c r="M3" s="1">
        <v>15</v>
      </c>
      <c r="N3" s="2" t="s">
        <v>17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1">
        <f>SUM(O3:S3)</f>
        <v>0</v>
      </c>
      <c r="U3" s="2" t="s">
        <v>17</v>
      </c>
      <c r="V3" s="1">
        <v>15</v>
      </c>
      <c r="W3" s="1">
        <v>25</v>
      </c>
      <c r="X3" s="1">
        <v>25</v>
      </c>
      <c r="Y3" s="1">
        <v>15</v>
      </c>
      <c r="Z3" s="1">
        <v>15</v>
      </c>
      <c r="AA3" s="11">
        <f>SUM(V3:Z3)</f>
        <v>95</v>
      </c>
      <c r="AB3" s="2" t="s">
        <v>17</v>
      </c>
      <c r="AC3" s="1">
        <v>15</v>
      </c>
      <c r="AD3" s="1">
        <v>25</v>
      </c>
      <c r="AE3" s="1">
        <v>25</v>
      </c>
      <c r="AF3" s="1">
        <v>15</v>
      </c>
      <c r="AG3" s="1">
        <v>15</v>
      </c>
      <c r="AH3" s="13" t="s">
        <v>17</v>
      </c>
      <c r="AI3" s="17">
        <v>10</v>
      </c>
      <c r="AJ3" s="1">
        <v>25</v>
      </c>
      <c r="AK3" s="1">
        <v>25</v>
      </c>
      <c r="AL3" s="1">
        <v>15</v>
      </c>
      <c r="AM3" s="1">
        <v>15</v>
      </c>
      <c r="AN3" s="13" t="s">
        <v>17</v>
      </c>
      <c r="AO3" s="1">
        <v>25</v>
      </c>
      <c r="AP3" s="1">
        <v>25</v>
      </c>
      <c r="AQ3" s="1">
        <v>25</v>
      </c>
      <c r="AR3" s="1">
        <v>15</v>
      </c>
      <c r="AS3" s="1">
        <v>15</v>
      </c>
      <c r="AT3" s="13" t="s">
        <v>17</v>
      </c>
      <c r="AU3" s="1">
        <v>15</v>
      </c>
      <c r="AV3" s="1">
        <v>25</v>
      </c>
      <c r="AW3" s="1">
        <v>25</v>
      </c>
      <c r="AX3" s="1">
        <v>5</v>
      </c>
      <c r="AY3" s="1">
        <v>15</v>
      </c>
      <c r="AZ3" s="1">
        <f>SUM(AU3:AY3)</f>
        <v>85</v>
      </c>
      <c r="BA3" s="13" t="s">
        <v>17</v>
      </c>
      <c r="BB3" s="1">
        <v>15</v>
      </c>
      <c r="BC3" s="1">
        <v>25</v>
      </c>
      <c r="BD3" s="1">
        <v>25</v>
      </c>
      <c r="BE3" s="1">
        <v>25</v>
      </c>
      <c r="BF3" s="1">
        <v>25</v>
      </c>
      <c r="BG3" s="1">
        <v>0</v>
      </c>
      <c r="BJ3" s="16" t="e">
        <f>SUM(H3+N3+AA3+T3+AH3+AN3+AT3+AZ3)</f>
        <v>#VALUE!</v>
      </c>
      <c r="BK3" s="16"/>
    </row>
    <row r="4" spans="1:63" ht="15" x14ac:dyDescent="0.3">
      <c r="A4" s="3" t="s">
        <v>18</v>
      </c>
      <c r="B4" s="4" t="s">
        <v>9</v>
      </c>
      <c r="C4" s="1">
        <v>10</v>
      </c>
      <c r="D4" s="1">
        <v>5</v>
      </c>
      <c r="E4" s="1">
        <v>25</v>
      </c>
      <c r="F4" s="1">
        <v>0</v>
      </c>
      <c r="G4" s="1">
        <v>15</v>
      </c>
      <c r="H4" s="1">
        <f t="shared" ref="H4:H18" si="0">SUM(C4:G4)</f>
        <v>55</v>
      </c>
      <c r="I4" s="1">
        <v>25</v>
      </c>
      <c r="J4" s="1">
        <v>25</v>
      </c>
      <c r="K4" s="1">
        <v>25</v>
      </c>
      <c r="L4" s="1">
        <v>10</v>
      </c>
      <c r="M4" s="1">
        <v>15</v>
      </c>
      <c r="N4" s="3" t="s">
        <v>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1">
        <f t="shared" ref="T4:T18" si="1">SUM(O4:S4)</f>
        <v>0</v>
      </c>
      <c r="U4" s="3" t="s">
        <v>18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1">
        <v>0</v>
      </c>
      <c r="AB4" s="3" t="s">
        <v>18</v>
      </c>
      <c r="AC4" s="1">
        <v>15</v>
      </c>
      <c r="AD4" s="1">
        <v>25</v>
      </c>
      <c r="AE4" s="1">
        <v>0</v>
      </c>
      <c r="AF4" s="1">
        <v>5</v>
      </c>
      <c r="AG4" s="1">
        <v>15</v>
      </c>
      <c r="AH4" s="13" t="s">
        <v>18</v>
      </c>
      <c r="AI4" s="18">
        <v>10</v>
      </c>
      <c r="AJ4" s="1">
        <v>0</v>
      </c>
      <c r="AK4" s="1">
        <v>0</v>
      </c>
      <c r="AL4" s="1">
        <v>5</v>
      </c>
      <c r="AM4" s="1">
        <v>0</v>
      </c>
      <c r="AN4" s="13" t="s">
        <v>18</v>
      </c>
      <c r="AO4" s="1">
        <v>15</v>
      </c>
      <c r="AP4" s="1">
        <v>25</v>
      </c>
      <c r="AQ4" s="1">
        <v>25</v>
      </c>
      <c r="AR4" s="1">
        <v>5</v>
      </c>
      <c r="AS4" s="1">
        <v>15</v>
      </c>
      <c r="AT4" s="13" t="s">
        <v>18</v>
      </c>
      <c r="AU4" s="1">
        <v>15</v>
      </c>
      <c r="AV4" s="1">
        <v>25</v>
      </c>
      <c r="AW4" s="1">
        <v>25</v>
      </c>
      <c r="AX4" s="1">
        <v>5</v>
      </c>
      <c r="AY4" s="1">
        <v>0</v>
      </c>
      <c r="AZ4" s="1">
        <f t="shared" ref="AZ4:AZ18" si="2">SUM(AU4:AY4)</f>
        <v>70</v>
      </c>
      <c r="BA4" s="13" t="s">
        <v>18</v>
      </c>
      <c r="BB4" s="1">
        <v>15</v>
      </c>
      <c r="BC4" s="1">
        <v>0</v>
      </c>
      <c r="BD4" s="1">
        <v>25</v>
      </c>
      <c r="BE4" s="1">
        <v>25</v>
      </c>
      <c r="BF4" s="1">
        <v>25</v>
      </c>
      <c r="BG4" s="1">
        <v>0</v>
      </c>
      <c r="BJ4" s="16" t="e">
        <f t="shared" ref="BJ4:BJ17" si="3">SUM(H4+N4+AA4+T4+AH4+AN4+AT4+AZ4)</f>
        <v>#VALUE!</v>
      </c>
      <c r="BK4" s="16"/>
    </row>
    <row r="5" spans="1:63" ht="15" x14ac:dyDescent="0.3">
      <c r="A5" s="2" t="s">
        <v>19</v>
      </c>
      <c r="B5" s="4" t="s">
        <v>9</v>
      </c>
      <c r="C5" s="1">
        <v>10</v>
      </c>
      <c r="D5" s="1">
        <v>25</v>
      </c>
      <c r="E5" s="1">
        <v>10</v>
      </c>
      <c r="F5" s="1">
        <v>0</v>
      </c>
      <c r="G5" s="1">
        <v>15</v>
      </c>
      <c r="H5" s="1">
        <f t="shared" si="0"/>
        <v>60</v>
      </c>
      <c r="I5" s="1">
        <v>25</v>
      </c>
      <c r="J5" s="1">
        <v>25</v>
      </c>
      <c r="K5" s="1">
        <v>25</v>
      </c>
      <c r="L5" s="1">
        <v>10</v>
      </c>
      <c r="M5" s="1">
        <v>15</v>
      </c>
      <c r="N5" s="2" t="s">
        <v>19</v>
      </c>
      <c r="O5" s="1">
        <v>25</v>
      </c>
      <c r="P5" s="1">
        <v>10</v>
      </c>
      <c r="Q5" s="1">
        <v>15</v>
      </c>
      <c r="R5" s="1">
        <v>0</v>
      </c>
      <c r="S5" s="1">
        <v>15</v>
      </c>
      <c r="T5" s="11">
        <f t="shared" si="1"/>
        <v>65</v>
      </c>
      <c r="U5" s="2" t="s">
        <v>19</v>
      </c>
      <c r="V5" s="1">
        <v>15</v>
      </c>
      <c r="W5" s="1">
        <v>25</v>
      </c>
      <c r="X5" s="1">
        <v>25</v>
      </c>
      <c r="Y5" s="1">
        <v>5</v>
      </c>
      <c r="Z5" s="1">
        <v>15</v>
      </c>
      <c r="AA5" s="11">
        <f t="shared" ref="AA5:AA18" si="4">SUM(V5:Z5)</f>
        <v>85</v>
      </c>
      <c r="AB5" s="2" t="s">
        <v>19</v>
      </c>
      <c r="AC5" s="1">
        <v>15</v>
      </c>
      <c r="AD5" s="1">
        <v>25</v>
      </c>
      <c r="AE5" s="1">
        <v>25</v>
      </c>
      <c r="AF5" s="1">
        <v>5</v>
      </c>
      <c r="AG5" s="1">
        <v>15</v>
      </c>
      <c r="AH5" s="13" t="s">
        <v>19</v>
      </c>
      <c r="AI5" s="1">
        <v>15</v>
      </c>
      <c r="AJ5" s="1">
        <v>25</v>
      </c>
      <c r="AK5" s="1">
        <v>25</v>
      </c>
      <c r="AL5" s="1">
        <v>5</v>
      </c>
      <c r="AM5" s="1">
        <v>15</v>
      </c>
      <c r="AN5" s="13" t="s">
        <v>19</v>
      </c>
      <c r="AO5" s="1">
        <v>15</v>
      </c>
      <c r="AP5" s="1">
        <v>25</v>
      </c>
      <c r="AQ5" s="1">
        <v>25</v>
      </c>
      <c r="AR5" s="1">
        <v>5</v>
      </c>
      <c r="AS5" s="1">
        <v>15</v>
      </c>
      <c r="AT5" s="13" t="s">
        <v>19</v>
      </c>
      <c r="AU5" s="1">
        <v>15</v>
      </c>
      <c r="AV5" s="1">
        <v>25</v>
      </c>
      <c r="AW5" s="1">
        <v>25</v>
      </c>
      <c r="AX5" s="1">
        <v>25</v>
      </c>
      <c r="AY5" s="1">
        <v>15</v>
      </c>
      <c r="AZ5" s="1">
        <f t="shared" si="2"/>
        <v>105</v>
      </c>
      <c r="BA5" s="13" t="s">
        <v>19</v>
      </c>
      <c r="BB5" s="1">
        <v>15</v>
      </c>
      <c r="BC5" s="1">
        <v>25</v>
      </c>
      <c r="BD5" s="1">
        <v>25</v>
      </c>
      <c r="BE5" s="1">
        <v>25</v>
      </c>
      <c r="BF5" s="1">
        <v>25</v>
      </c>
      <c r="BG5" s="1">
        <v>0</v>
      </c>
      <c r="BJ5" s="16" t="e">
        <f t="shared" si="3"/>
        <v>#VALUE!</v>
      </c>
      <c r="BK5" s="16"/>
    </row>
    <row r="6" spans="1:63" ht="15" x14ac:dyDescent="0.3">
      <c r="A6" s="3" t="s">
        <v>20</v>
      </c>
      <c r="B6" s="4" t="s">
        <v>9</v>
      </c>
      <c r="C6" s="1">
        <v>15</v>
      </c>
      <c r="D6" s="1">
        <v>10</v>
      </c>
      <c r="E6" s="1">
        <v>15</v>
      </c>
      <c r="F6" s="1">
        <v>0</v>
      </c>
      <c r="G6" s="1">
        <v>15</v>
      </c>
      <c r="H6" s="1">
        <f t="shared" si="0"/>
        <v>55</v>
      </c>
      <c r="I6" s="1">
        <v>25</v>
      </c>
      <c r="J6" s="1">
        <v>25</v>
      </c>
      <c r="K6" s="1">
        <v>25</v>
      </c>
      <c r="L6" s="1">
        <v>10</v>
      </c>
      <c r="M6" s="1">
        <v>15</v>
      </c>
      <c r="N6" s="3" t="s">
        <v>20</v>
      </c>
      <c r="O6" s="1">
        <v>25</v>
      </c>
      <c r="P6" s="1">
        <v>10</v>
      </c>
      <c r="Q6" s="1">
        <v>15</v>
      </c>
      <c r="R6" s="1">
        <v>0</v>
      </c>
      <c r="S6" s="1">
        <v>15</v>
      </c>
      <c r="T6" s="11">
        <f t="shared" si="1"/>
        <v>65</v>
      </c>
      <c r="U6" s="3" t="s">
        <v>20</v>
      </c>
      <c r="V6" s="1">
        <v>15</v>
      </c>
      <c r="W6" s="1">
        <v>25</v>
      </c>
      <c r="X6" s="1">
        <v>25</v>
      </c>
      <c r="Y6" s="1">
        <v>10</v>
      </c>
      <c r="Z6" s="1">
        <v>15</v>
      </c>
      <c r="AA6" s="11">
        <f t="shared" si="4"/>
        <v>90</v>
      </c>
      <c r="AB6" s="3" t="s">
        <v>20</v>
      </c>
      <c r="AC6" s="1">
        <v>15</v>
      </c>
      <c r="AD6" s="1">
        <v>25</v>
      </c>
      <c r="AE6" s="1">
        <v>25</v>
      </c>
      <c r="AF6" s="1">
        <v>10</v>
      </c>
      <c r="AG6" s="1">
        <v>15</v>
      </c>
      <c r="AH6" s="13" t="s">
        <v>20</v>
      </c>
      <c r="AI6" s="1">
        <v>15</v>
      </c>
      <c r="AJ6" s="1">
        <v>25</v>
      </c>
      <c r="AK6" s="1">
        <v>25</v>
      </c>
      <c r="AL6" s="1">
        <v>10</v>
      </c>
      <c r="AM6" s="1">
        <v>15</v>
      </c>
      <c r="AN6" s="13" t="s">
        <v>20</v>
      </c>
      <c r="AO6" s="1">
        <v>15</v>
      </c>
      <c r="AP6" s="1">
        <v>25</v>
      </c>
      <c r="AQ6" s="1">
        <v>25</v>
      </c>
      <c r="AR6" s="1">
        <v>10</v>
      </c>
      <c r="AS6" s="1">
        <v>15</v>
      </c>
      <c r="AT6" s="13" t="s">
        <v>20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f t="shared" si="2"/>
        <v>0</v>
      </c>
      <c r="BA6" s="13" t="s">
        <v>20</v>
      </c>
      <c r="BB6" s="1">
        <v>15</v>
      </c>
      <c r="BC6" s="1">
        <v>0</v>
      </c>
      <c r="BD6" s="1">
        <v>25</v>
      </c>
      <c r="BE6" s="1">
        <v>0</v>
      </c>
      <c r="BF6" s="1">
        <v>25</v>
      </c>
      <c r="BG6" s="1">
        <v>0</v>
      </c>
      <c r="BJ6" s="16" t="e">
        <f t="shared" si="3"/>
        <v>#VALUE!</v>
      </c>
      <c r="BK6" s="16"/>
    </row>
    <row r="7" spans="1:63" ht="15" x14ac:dyDescent="0.3">
      <c r="A7" s="2" t="s">
        <v>21</v>
      </c>
      <c r="B7" s="4" t="s">
        <v>9</v>
      </c>
      <c r="C7" s="1">
        <v>25</v>
      </c>
      <c r="D7" s="1">
        <v>25</v>
      </c>
      <c r="E7" s="1">
        <v>15</v>
      </c>
      <c r="F7" s="1">
        <v>0</v>
      </c>
      <c r="G7" s="1">
        <v>15</v>
      </c>
      <c r="H7" s="1">
        <f t="shared" si="0"/>
        <v>80</v>
      </c>
      <c r="I7" s="1">
        <v>25</v>
      </c>
      <c r="J7" s="1">
        <v>15</v>
      </c>
      <c r="K7" s="1">
        <v>10</v>
      </c>
      <c r="L7" s="1">
        <v>10</v>
      </c>
      <c r="M7" s="1">
        <v>15</v>
      </c>
      <c r="N7" s="2" t="s">
        <v>21</v>
      </c>
      <c r="O7" s="1">
        <v>25</v>
      </c>
      <c r="P7" s="1">
        <v>10</v>
      </c>
      <c r="Q7" s="1">
        <v>15</v>
      </c>
      <c r="R7" s="1">
        <v>0</v>
      </c>
      <c r="S7" s="1">
        <v>15</v>
      </c>
      <c r="T7" s="11">
        <f t="shared" si="1"/>
        <v>65</v>
      </c>
      <c r="U7" s="2" t="s">
        <v>21</v>
      </c>
      <c r="V7" s="1">
        <v>25</v>
      </c>
      <c r="W7" s="1">
        <v>15</v>
      </c>
      <c r="X7" s="1">
        <v>25</v>
      </c>
      <c r="Y7" s="1">
        <v>15</v>
      </c>
      <c r="Z7" s="1">
        <v>15</v>
      </c>
      <c r="AA7" s="11">
        <f t="shared" si="4"/>
        <v>95</v>
      </c>
      <c r="AB7" s="2" t="s">
        <v>21</v>
      </c>
      <c r="AC7" s="1">
        <v>25</v>
      </c>
      <c r="AD7" s="1">
        <v>25</v>
      </c>
      <c r="AE7" s="1">
        <v>25</v>
      </c>
      <c r="AF7" s="1">
        <v>15</v>
      </c>
      <c r="AG7" s="1">
        <v>15</v>
      </c>
      <c r="AH7" s="13" t="s">
        <v>21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3" t="s">
        <v>21</v>
      </c>
      <c r="AO7" s="1">
        <v>25</v>
      </c>
      <c r="AP7" s="1">
        <v>25</v>
      </c>
      <c r="AQ7" s="1">
        <v>25</v>
      </c>
      <c r="AR7" s="1">
        <v>15</v>
      </c>
      <c r="AS7" s="1">
        <v>15</v>
      </c>
      <c r="AT7" s="13" t="s">
        <v>21</v>
      </c>
      <c r="AU7" s="1">
        <v>15</v>
      </c>
      <c r="AV7" s="1">
        <v>25</v>
      </c>
      <c r="AW7" s="1">
        <v>25</v>
      </c>
      <c r="AX7" s="1">
        <v>5</v>
      </c>
      <c r="AY7" s="1">
        <v>15</v>
      </c>
      <c r="AZ7" s="1">
        <f t="shared" si="2"/>
        <v>85</v>
      </c>
      <c r="BA7" s="13" t="s">
        <v>21</v>
      </c>
      <c r="BB7" s="1">
        <v>15</v>
      </c>
      <c r="BC7" s="1">
        <v>0</v>
      </c>
      <c r="BD7" s="1">
        <v>25</v>
      </c>
      <c r="BE7" s="1">
        <v>0</v>
      </c>
      <c r="BF7" s="1">
        <v>25</v>
      </c>
      <c r="BG7" s="1">
        <v>0</v>
      </c>
      <c r="BJ7" s="16" t="e">
        <f t="shared" si="3"/>
        <v>#VALUE!</v>
      </c>
      <c r="BK7" s="16"/>
    </row>
    <row r="8" spans="1:63" ht="15" x14ac:dyDescent="0.3">
      <c r="A8" s="3" t="s">
        <v>22</v>
      </c>
      <c r="B8" s="4" t="s">
        <v>9</v>
      </c>
      <c r="C8" s="1">
        <v>25</v>
      </c>
      <c r="D8" s="1">
        <v>25</v>
      </c>
      <c r="E8" s="1">
        <v>15</v>
      </c>
      <c r="F8" s="1">
        <v>0</v>
      </c>
      <c r="G8" s="1">
        <v>15</v>
      </c>
      <c r="H8" s="1">
        <f t="shared" si="0"/>
        <v>80</v>
      </c>
      <c r="I8" s="1">
        <v>25</v>
      </c>
      <c r="J8" s="1">
        <v>25</v>
      </c>
      <c r="K8" s="1">
        <v>25</v>
      </c>
      <c r="L8" s="1">
        <v>10</v>
      </c>
      <c r="M8" s="1">
        <v>15</v>
      </c>
      <c r="N8" s="3" t="s">
        <v>22</v>
      </c>
      <c r="O8" s="1">
        <v>25</v>
      </c>
      <c r="P8" s="1">
        <v>25</v>
      </c>
      <c r="Q8" s="1">
        <v>25</v>
      </c>
      <c r="R8" s="1">
        <v>0</v>
      </c>
      <c r="S8" s="1">
        <v>15</v>
      </c>
      <c r="T8" s="11">
        <f t="shared" si="1"/>
        <v>90</v>
      </c>
      <c r="U8" s="3" t="s">
        <v>22</v>
      </c>
      <c r="V8" s="1">
        <v>25</v>
      </c>
      <c r="W8" s="1">
        <v>25</v>
      </c>
      <c r="X8" s="1">
        <v>25</v>
      </c>
      <c r="Y8" s="1">
        <v>15</v>
      </c>
      <c r="Z8" s="1">
        <v>15</v>
      </c>
      <c r="AA8" s="11">
        <f t="shared" si="4"/>
        <v>105</v>
      </c>
      <c r="AB8" s="3" t="s">
        <v>22</v>
      </c>
      <c r="AC8" s="1">
        <v>25</v>
      </c>
      <c r="AD8" s="1">
        <v>25</v>
      </c>
      <c r="AE8" s="1">
        <v>25</v>
      </c>
      <c r="AF8" s="1">
        <v>15</v>
      </c>
      <c r="AG8" s="1">
        <v>15</v>
      </c>
      <c r="AH8" s="13" t="s">
        <v>22</v>
      </c>
      <c r="AI8" s="1">
        <v>10</v>
      </c>
      <c r="AJ8" s="1">
        <v>25</v>
      </c>
      <c r="AK8" s="1">
        <v>25</v>
      </c>
      <c r="AL8" s="1">
        <v>15</v>
      </c>
      <c r="AM8" s="1">
        <v>15</v>
      </c>
      <c r="AN8" s="13" t="s">
        <v>22</v>
      </c>
      <c r="AO8" s="1">
        <v>25</v>
      </c>
      <c r="AP8" s="1">
        <v>25</v>
      </c>
      <c r="AQ8" s="1">
        <v>25</v>
      </c>
      <c r="AR8" s="1">
        <v>15</v>
      </c>
      <c r="AS8" s="1">
        <v>15</v>
      </c>
      <c r="AT8" s="13" t="s">
        <v>22</v>
      </c>
      <c r="AU8" s="1">
        <v>25</v>
      </c>
      <c r="AV8" s="1">
        <v>25</v>
      </c>
      <c r="AW8" s="1">
        <v>25</v>
      </c>
      <c r="AX8" s="1">
        <v>0</v>
      </c>
      <c r="AY8" s="1">
        <v>15</v>
      </c>
      <c r="AZ8" s="1">
        <f t="shared" si="2"/>
        <v>90</v>
      </c>
      <c r="BA8" s="13" t="s">
        <v>22</v>
      </c>
      <c r="BB8" s="1">
        <v>15</v>
      </c>
      <c r="BC8" s="1">
        <v>0</v>
      </c>
      <c r="BD8" s="1">
        <v>25</v>
      </c>
      <c r="BE8" s="1">
        <v>0</v>
      </c>
      <c r="BF8" s="1">
        <v>25</v>
      </c>
      <c r="BG8" s="1">
        <v>0</v>
      </c>
      <c r="BJ8" s="16" t="e">
        <f t="shared" si="3"/>
        <v>#VALUE!</v>
      </c>
      <c r="BK8" s="16"/>
    </row>
    <row r="9" spans="1:63" ht="15" x14ac:dyDescent="0.3">
      <c r="A9" s="2" t="s">
        <v>23</v>
      </c>
      <c r="B9" s="4" t="s">
        <v>9</v>
      </c>
      <c r="C9" s="1">
        <v>0</v>
      </c>
      <c r="D9" s="1">
        <v>0</v>
      </c>
      <c r="E9" s="1">
        <v>0</v>
      </c>
      <c r="F9" s="1">
        <v>0</v>
      </c>
      <c r="G9" s="1">
        <v>15</v>
      </c>
      <c r="H9" s="1">
        <f t="shared" si="0"/>
        <v>15</v>
      </c>
      <c r="I9" s="1">
        <v>25</v>
      </c>
      <c r="J9" s="1">
        <v>15</v>
      </c>
      <c r="K9" s="1">
        <v>15</v>
      </c>
      <c r="L9" s="1">
        <v>10</v>
      </c>
      <c r="M9" s="1">
        <v>15</v>
      </c>
      <c r="N9" s="2" t="s">
        <v>23</v>
      </c>
      <c r="O9" s="1">
        <v>10</v>
      </c>
      <c r="P9" s="1">
        <v>10</v>
      </c>
      <c r="Q9" s="1">
        <v>15</v>
      </c>
      <c r="R9" s="1">
        <v>0</v>
      </c>
      <c r="S9" s="1">
        <v>15</v>
      </c>
      <c r="T9" s="11">
        <f t="shared" si="1"/>
        <v>50</v>
      </c>
      <c r="U9" s="2" t="s">
        <v>23</v>
      </c>
      <c r="V9" s="1">
        <v>10</v>
      </c>
      <c r="W9" s="1">
        <v>15</v>
      </c>
      <c r="X9" s="1">
        <v>25</v>
      </c>
      <c r="Y9" s="1">
        <v>5</v>
      </c>
      <c r="Z9" s="1">
        <v>15</v>
      </c>
      <c r="AA9" s="11">
        <f t="shared" si="4"/>
        <v>70</v>
      </c>
      <c r="AB9" s="2" t="s">
        <v>23</v>
      </c>
      <c r="AC9" s="1">
        <v>10</v>
      </c>
      <c r="AD9" s="1">
        <v>15</v>
      </c>
      <c r="AE9" s="1">
        <v>25</v>
      </c>
      <c r="AF9" s="1">
        <v>5</v>
      </c>
      <c r="AG9" s="1">
        <v>15</v>
      </c>
      <c r="AH9" s="13" t="s">
        <v>23</v>
      </c>
      <c r="AI9" s="1">
        <v>10</v>
      </c>
      <c r="AJ9" s="1">
        <v>15</v>
      </c>
      <c r="AK9" s="1">
        <v>25</v>
      </c>
      <c r="AL9" s="1">
        <v>5</v>
      </c>
      <c r="AM9" s="1">
        <v>15</v>
      </c>
      <c r="AN9" s="13" t="s">
        <v>23</v>
      </c>
      <c r="AO9" s="1">
        <v>15</v>
      </c>
      <c r="AP9" s="1">
        <v>25</v>
      </c>
      <c r="AQ9" s="1">
        <v>25</v>
      </c>
      <c r="AR9" s="1">
        <v>5</v>
      </c>
      <c r="AS9" s="1">
        <v>15</v>
      </c>
      <c r="AT9" s="13" t="s">
        <v>23</v>
      </c>
      <c r="AU9" s="1">
        <v>15</v>
      </c>
      <c r="AV9" s="1">
        <v>25</v>
      </c>
      <c r="AW9" s="1">
        <v>25</v>
      </c>
      <c r="AX9" s="1">
        <v>5</v>
      </c>
      <c r="AY9" s="1">
        <v>15</v>
      </c>
      <c r="AZ9" s="1">
        <f t="shared" si="2"/>
        <v>85</v>
      </c>
      <c r="BA9" s="13" t="s">
        <v>23</v>
      </c>
      <c r="BB9" s="1">
        <v>10</v>
      </c>
      <c r="BC9" s="1">
        <v>25</v>
      </c>
      <c r="BD9" s="1">
        <v>25</v>
      </c>
      <c r="BE9" s="1">
        <v>50</v>
      </c>
      <c r="BF9" s="1">
        <v>25</v>
      </c>
      <c r="BG9" s="1">
        <v>0</v>
      </c>
      <c r="BJ9" s="16" t="e">
        <f t="shared" si="3"/>
        <v>#VALUE!</v>
      </c>
      <c r="BK9" s="16"/>
    </row>
    <row r="10" spans="1:63" ht="15" x14ac:dyDescent="0.3">
      <c r="A10" s="3" t="s">
        <v>24</v>
      </c>
      <c r="B10" s="4" t="s">
        <v>9</v>
      </c>
      <c r="C10" s="1">
        <v>15</v>
      </c>
      <c r="D10" s="1">
        <v>10</v>
      </c>
      <c r="E10" s="1">
        <v>15</v>
      </c>
      <c r="F10" s="1">
        <v>0</v>
      </c>
      <c r="G10" s="1">
        <v>15</v>
      </c>
      <c r="H10" s="1">
        <f t="shared" si="0"/>
        <v>55</v>
      </c>
      <c r="I10" s="1">
        <v>25</v>
      </c>
      <c r="J10" s="1">
        <v>25</v>
      </c>
      <c r="K10" s="1">
        <v>25</v>
      </c>
      <c r="L10" s="1">
        <v>10</v>
      </c>
      <c r="M10" s="1">
        <v>15</v>
      </c>
      <c r="N10" s="3" t="s">
        <v>24</v>
      </c>
      <c r="O10" s="1">
        <v>25</v>
      </c>
      <c r="P10" s="1">
        <v>10</v>
      </c>
      <c r="Q10" s="1">
        <v>15</v>
      </c>
      <c r="R10" s="1">
        <v>0</v>
      </c>
      <c r="S10" s="1">
        <v>15</v>
      </c>
      <c r="T10" s="11">
        <f t="shared" si="1"/>
        <v>65</v>
      </c>
      <c r="U10" s="3" t="s">
        <v>24</v>
      </c>
      <c r="V10" s="1">
        <v>25</v>
      </c>
      <c r="W10" s="1">
        <v>25</v>
      </c>
      <c r="X10" s="1">
        <v>25</v>
      </c>
      <c r="Y10" s="1">
        <v>15</v>
      </c>
      <c r="Z10" s="1">
        <v>15</v>
      </c>
      <c r="AA10" s="11">
        <f t="shared" si="4"/>
        <v>105</v>
      </c>
      <c r="AB10" s="3" t="s">
        <v>24</v>
      </c>
      <c r="AC10" s="1">
        <v>25</v>
      </c>
      <c r="AD10" s="1">
        <v>25</v>
      </c>
      <c r="AE10" s="1">
        <v>25</v>
      </c>
      <c r="AF10" s="1">
        <v>15</v>
      </c>
      <c r="AG10" s="1">
        <v>15</v>
      </c>
      <c r="AH10" s="13" t="s">
        <v>24</v>
      </c>
      <c r="AI10" s="1">
        <v>15</v>
      </c>
      <c r="AJ10" s="1">
        <v>25</v>
      </c>
      <c r="AK10" s="1">
        <v>25</v>
      </c>
      <c r="AL10" s="1">
        <v>15</v>
      </c>
      <c r="AM10" s="1">
        <v>15</v>
      </c>
      <c r="AN10" s="13" t="s">
        <v>24</v>
      </c>
      <c r="AO10" s="1">
        <v>15</v>
      </c>
      <c r="AP10" s="1">
        <v>25</v>
      </c>
      <c r="AQ10" s="1">
        <v>25</v>
      </c>
      <c r="AR10" s="1">
        <v>15</v>
      </c>
      <c r="AS10" s="1">
        <v>15</v>
      </c>
      <c r="AT10" s="13" t="s">
        <v>24</v>
      </c>
      <c r="AU10" s="1">
        <v>15</v>
      </c>
      <c r="AV10" s="1">
        <v>25</v>
      </c>
      <c r="AW10" s="1">
        <v>25</v>
      </c>
      <c r="AX10" s="1">
        <v>5</v>
      </c>
      <c r="AY10" s="1">
        <v>15</v>
      </c>
      <c r="AZ10" s="1">
        <f t="shared" si="2"/>
        <v>85</v>
      </c>
      <c r="BA10" s="13" t="s">
        <v>24</v>
      </c>
      <c r="BB10" s="1">
        <v>25</v>
      </c>
      <c r="BC10" s="1">
        <v>0</v>
      </c>
      <c r="BD10" s="1">
        <v>25</v>
      </c>
      <c r="BE10" s="1">
        <v>0</v>
      </c>
      <c r="BF10" s="1">
        <v>25</v>
      </c>
      <c r="BG10" s="1">
        <v>0</v>
      </c>
      <c r="BJ10" s="16" t="e">
        <f t="shared" si="3"/>
        <v>#VALUE!</v>
      </c>
      <c r="BK10" s="16"/>
    </row>
    <row r="11" spans="1:63" ht="15" x14ac:dyDescent="0.3">
      <c r="A11" s="2" t="s">
        <v>25</v>
      </c>
      <c r="B11" s="4" t="s">
        <v>9</v>
      </c>
      <c r="C11" s="1">
        <v>10</v>
      </c>
      <c r="D11" s="1">
        <v>5</v>
      </c>
      <c r="E11" s="1">
        <v>10</v>
      </c>
      <c r="F11" s="1">
        <v>0</v>
      </c>
      <c r="G11" s="1">
        <v>15</v>
      </c>
      <c r="H11" s="1">
        <f t="shared" si="0"/>
        <v>40</v>
      </c>
      <c r="I11" s="1">
        <v>25</v>
      </c>
      <c r="J11" s="1">
        <v>25</v>
      </c>
      <c r="K11" s="1">
        <v>25</v>
      </c>
      <c r="L11" s="1">
        <v>10</v>
      </c>
      <c r="M11" s="1">
        <v>15</v>
      </c>
      <c r="N11" s="2" t="s">
        <v>25</v>
      </c>
      <c r="O11" s="1">
        <v>25</v>
      </c>
      <c r="P11" s="1">
        <v>10</v>
      </c>
      <c r="Q11" s="1">
        <v>15</v>
      </c>
      <c r="R11" s="1">
        <v>0</v>
      </c>
      <c r="S11" s="1">
        <v>0</v>
      </c>
      <c r="T11" s="11">
        <f t="shared" si="1"/>
        <v>50</v>
      </c>
      <c r="U11" s="2" t="s">
        <v>25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1">
        <v>0</v>
      </c>
      <c r="AB11" s="2" t="s">
        <v>25</v>
      </c>
      <c r="AC11" s="1">
        <v>10</v>
      </c>
      <c r="AD11" s="1">
        <v>25</v>
      </c>
      <c r="AE11" s="1">
        <v>25</v>
      </c>
      <c r="AF11" s="1">
        <v>25</v>
      </c>
      <c r="AG11" s="1">
        <v>15</v>
      </c>
      <c r="AH11" s="13" t="s">
        <v>25</v>
      </c>
      <c r="AI11" s="1">
        <v>15</v>
      </c>
      <c r="AJ11" s="1">
        <v>0</v>
      </c>
      <c r="AK11" s="1">
        <v>0</v>
      </c>
      <c r="AL11" s="1">
        <v>15</v>
      </c>
      <c r="AM11" s="1">
        <v>0</v>
      </c>
      <c r="AN11" s="13" t="s">
        <v>25</v>
      </c>
      <c r="AO11" s="1">
        <v>25</v>
      </c>
      <c r="AP11" s="1">
        <v>25</v>
      </c>
      <c r="AQ11" s="1">
        <v>25</v>
      </c>
      <c r="AR11" s="1">
        <v>15</v>
      </c>
      <c r="AS11" s="1">
        <v>15</v>
      </c>
      <c r="AT11" s="13" t="s">
        <v>25</v>
      </c>
      <c r="AU11" s="1">
        <v>15</v>
      </c>
      <c r="AV11" s="1">
        <v>25</v>
      </c>
      <c r="AW11" s="1">
        <v>25</v>
      </c>
      <c r="AX11" s="1">
        <v>5</v>
      </c>
      <c r="AY11" s="1">
        <v>0</v>
      </c>
      <c r="AZ11" s="1">
        <f t="shared" si="2"/>
        <v>70</v>
      </c>
      <c r="BA11" s="13" t="s">
        <v>25</v>
      </c>
      <c r="BB11" s="1">
        <v>15</v>
      </c>
      <c r="BC11" s="1">
        <v>0</v>
      </c>
      <c r="BD11" s="1">
        <v>25</v>
      </c>
      <c r="BE11" s="1">
        <v>25</v>
      </c>
      <c r="BF11" s="1">
        <v>15</v>
      </c>
      <c r="BG11" s="1">
        <v>0</v>
      </c>
      <c r="BJ11" s="16" t="e">
        <f t="shared" si="3"/>
        <v>#VALUE!</v>
      </c>
      <c r="BK11" s="16"/>
    </row>
    <row r="12" spans="1:63" ht="15" x14ac:dyDescent="0.3">
      <c r="A12" s="3" t="s">
        <v>26</v>
      </c>
      <c r="B12" s="4" t="s">
        <v>9</v>
      </c>
      <c r="C12" s="1">
        <v>25</v>
      </c>
      <c r="D12" s="1">
        <v>25</v>
      </c>
      <c r="E12" s="1">
        <v>15</v>
      </c>
      <c r="F12" s="1">
        <v>0</v>
      </c>
      <c r="G12" s="1">
        <v>15</v>
      </c>
      <c r="H12" s="1">
        <f t="shared" si="0"/>
        <v>80</v>
      </c>
      <c r="I12" s="1">
        <v>25</v>
      </c>
      <c r="J12" s="1">
        <v>25</v>
      </c>
      <c r="K12" s="1">
        <v>10</v>
      </c>
      <c r="L12" s="1">
        <v>10</v>
      </c>
      <c r="M12" s="1">
        <v>15</v>
      </c>
      <c r="N12" s="3" t="s">
        <v>26</v>
      </c>
      <c r="O12" s="1">
        <v>25</v>
      </c>
      <c r="P12" s="1">
        <v>25</v>
      </c>
      <c r="Q12" s="1">
        <v>25</v>
      </c>
      <c r="R12" s="1">
        <v>0</v>
      </c>
      <c r="S12" s="1">
        <v>15</v>
      </c>
      <c r="T12" s="11">
        <f t="shared" si="1"/>
        <v>90</v>
      </c>
      <c r="U12" s="3" t="s">
        <v>26</v>
      </c>
      <c r="V12" s="1">
        <v>25</v>
      </c>
      <c r="W12" s="1">
        <v>25</v>
      </c>
      <c r="X12" s="1">
        <v>25</v>
      </c>
      <c r="Y12" s="1">
        <v>10</v>
      </c>
      <c r="Z12" s="1">
        <v>15</v>
      </c>
      <c r="AA12" s="11">
        <f t="shared" si="4"/>
        <v>100</v>
      </c>
      <c r="AB12" s="3" t="s">
        <v>26</v>
      </c>
      <c r="AC12" s="1">
        <v>25</v>
      </c>
      <c r="AD12" s="1">
        <v>25</v>
      </c>
      <c r="AE12" s="1">
        <v>25</v>
      </c>
      <c r="AF12" s="1">
        <v>10</v>
      </c>
      <c r="AG12" s="1">
        <v>15</v>
      </c>
      <c r="AH12" s="13" t="s">
        <v>26</v>
      </c>
      <c r="AI12" s="1">
        <v>25</v>
      </c>
      <c r="AJ12" s="1">
        <v>25</v>
      </c>
      <c r="AK12" s="1">
        <v>25</v>
      </c>
      <c r="AL12" s="1">
        <v>10</v>
      </c>
      <c r="AM12" s="1">
        <v>15</v>
      </c>
      <c r="AN12" s="13" t="s">
        <v>26</v>
      </c>
      <c r="AO12" s="1">
        <v>25</v>
      </c>
      <c r="AP12" s="1">
        <v>25</v>
      </c>
      <c r="AQ12" s="1">
        <v>25</v>
      </c>
      <c r="AR12" s="1">
        <v>10</v>
      </c>
      <c r="AS12" s="1">
        <v>15</v>
      </c>
      <c r="AT12" s="13" t="s">
        <v>26</v>
      </c>
      <c r="AU12" s="1">
        <v>25</v>
      </c>
      <c r="AV12" s="1">
        <v>25</v>
      </c>
      <c r="AW12" s="1">
        <v>25</v>
      </c>
      <c r="AX12" s="1">
        <v>5</v>
      </c>
      <c r="AY12" s="1">
        <v>15</v>
      </c>
      <c r="AZ12" s="1">
        <f t="shared" si="2"/>
        <v>95</v>
      </c>
      <c r="BA12" s="13" t="s">
        <v>26</v>
      </c>
      <c r="BB12" s="1">
        <v>15</v>
      </c>
      <c r="BC12" s="1">
        <v>0</v>
      </c>
      <c r="BD12" s="1">
        <v>25</v>
      </c>
      <c r="BE12" s="1">
        <v>0</v>
      </c>
      <c r="BF12" s="1">
        <v>25</v>
      </c>
      <c r="BG12" s="1">
        <v>0</v>
      </c>
      <c r="BJ12" s="16" t="e">
        <f t="shared" si="3"/>
        <v>#VALUE!</v>
      </c>
      <c r="BK12" s="16"/>
    </row>
    <row r="13" spans="1:63" ht="16.8" customHeight="1" x14ac:dyDescent="0.3">
      <c r="A13" s="2" t="s">
        <v>27</v>
      </c>
      <c r="B13" s="4" t="s">
        <v>9</v>
      </c>
      <c r="C13" s="1">
        <v>25</v>
      </c>
      <c r="D13" s="1">
        <v>25</v>
      </c>
      <c r="E13" s="1">
        <v>25</v>
      </c>
      <c r="F13" s="1">
        <v>0</v>
      </c>
      <c r="G13" s="1">
        <v>15</v>
      </c>
      <c r="H13" s="1">
        <f t="shared" si="0"/>
        <v>90</v>
      </c>
      <c r="I13" s="1">
        <v>25</v>
      </c>
      <c r="J13" s="1">
        <v>25</v>
      </c>
      <c r="K13" s="1">
        <v>25</v>
      </c>
      <c r="L13" s="1">
        <v>10</v>
      </c>
      <c r="M13" s="1">
        <v>15</v>
      </c>
      <c r="N13" s="2" t="s">
        <v>27</v>
      </c>
      <c r="O13" s="1">
        <v>25</v>
      </c>
      <c r="P13" s="1">
        <v>25</v>
      </c>
      <c r="Q13" s="1">
        <v>25</v>
      </c>
      <c r="R13" s="1">
        <v>0</v>
      </c>
      <c r="S13" s="1">
        <v>15</v>
      </c>
      <c r="T13" s="11">
        <f t="shared" si="1"/>
        <v>90</v>
      </c>
      <c r="U13" s="2" t="s">
        <v>27</v>
      </c>
      <c r="V13" s="1">
        <v>25</v>
      </c>
      <c r="W13" s="1">
        <v>25</v>
      </c>
      <c r="X13" s="1">
        <v>25</v>
      </c>
      <c r="Y13" s="1">
        <v>10</v>
      </c>
      <c r="Z13" s="1">
        <v>15</v>
      </c>
      <c r="AA13" s="11">
        <f t="shared" si="4"/>
        <v>100</v>
      </c>
      <c r="AB13" s="2" t="s">
        <v>27</v>
      </c>
      <c r="AC13" s="1">
        <v>25</v>
      </c>
      <c r="AD13" s="1">
        <v>25</v>
      </c>
      <c r="AE13" s="1">
        <v>25</v>
      </c>
      <c r="AF13" s="1">
        <v>10</v>
      </c>
      <c r="AG13" s="1">
        <v>15</v>
      </c>
      <c r="AH13" s="13" t="s">
        <v>27</v>
      </c>
      <c r="AI13" s="1">
        <v>25</v>
      </c>
      <c r="AJ13" s="1">
        <v>25</v>
      </c>
      <c r="AK13" s="1">
        <v>25</v>
      </c>
      <c r="AL13" s="1">
        <v>10</v>
      </c>
      <c r="AM13" s="1">
        <v>15</v>
      </c>
      <c r="AN13" s="13" t="s">
        <v>27</v>
      </c>
      <c r="AO13" s="1">
        <v>25</v>
      </c>
      <c r="AP13" s="1">
        <v>25</v>
      </c>
      <c r="AQ13" s="1">
        <v>25</v>
      </c>
      <c r="AR13" s="1">
        <v>10</v>
      </c>
      <c r="AS13" s="1">
        <v>15</v>
      </c>
      <c r="AT13" s="13" t="s">
        <v>27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f t="shared" si="2"/>
        <v>0</v>
      </c>
      <c r="BA13" s="13" t="s">
        <v>27</v>
      </c>
      <c r="BB13" s="1">
        <v>25</v>
      </c>
      <c r="BC13" s="1">
        <v>0</v>
      </c>
      <c r="BD13" s="1">
        <v>25</v>
      </c>
      <c r="BE13" s="1">
        <v>0</v>
      </c>
      <c r="BF13" s="1">
        <v>25</v>
      </c>
      <c r="BG13" s="1">
        <v>0</v>
      </c>
      <c r="BJ13" s="16" t="e">
        <f t="shared" si="3"/>
        <v>#VALUE!</v>
      </c>
      <c r="BK13" s="16"/>
    </row>
    <row r="14" spans="1:63" ht="18" customHeight="1" x14ac:dyDescent="0.3">
      <c r="A14" s="3" t="s">
        <v>28</v>
      </c>
      <c r="B14" s="4" t="s">
        <v>9</v>
      </c>
      <c r="C14" s="1">
        <v>5</v>
      </c>
      <c r="D14" s="1">
        <v>10</v>
      </c>
      <c r="E14" s="1">
        <v>5</v>
      </c>
      <c r="F14" s="1">
        <v>0</v>
      </c>
      <c r="G14" s="1">
        <v>15</v>
      </c>
      <c r="H14" s="1">
        <f t="shared" si="0"/>
        <v>35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3" t="s">
        <v>28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1">
        <f t="shared" si="1"/>
        <v>0</v>
      </c>
      <c r="U14" s="3" t="s">
        <v>28</v>
      </c>
      <c r="V14" s="1">
        <v>10</v>
      </c>
      <c r="W14" s="1">
        <v>25</v>
      </c>
      <c r="X14" s="1">
        <v>25</v>
      </c>
      <c r="Y14" s="1">
        <v>10</v>
      </c>
      <c r="Z14" s="1">
        <v>15</v>
      </c>
      <c r="AA14" s="11">
        <f t="shared" si="4"/>
        <v>85</v>
      </c>
      <c r="AB14" s="3" t="s">
        <v>28</v>
      </c>
      <c r="AC14" s="1">
        <v>10</v>
      </c>
      <c r="AD14" s="1">
        <v>25</v>
      </c>
      <c r="AE14" s="1">
        <v>25</v>
      </c>
      <c r="AF14" s="1">
        <v>10</v>
      </c>
      <c r="AG14" s="1">
        <v>15</v>
      </c>
      <c r="AH14" s="13" t="s">
        <v>28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3" t="s">
        <v>28</v>
      </c>
      <c r="AO14" s="1">
        <v>15</v>
      </c>
      <c r="AP14" s="1">
        <v>25</v>
      </c>
      <c r="AQ14" s="1">
        <v>25</v>
      </c>
      <c r="AR14" s="1">
        <v>10</v>
      </c>
      <c r="AS14" s="1">
        <v>15</v>
      </c>
      <c r="AT14" s="13" t="s">
        <v>28</v>
      </c>
      <c r="AU14" s="1">
        <v>15</v>
      </c>
      <c r="AV14" s="1">
        <v>25</v>
      </c>
      <c r="AW14" s="1">
        <v>25</v>
      </c>
      <c r="AX14" s="1">
        <v>55</v>
      </c>
      <c r="AY14" s="1">
        <v>15</v>
      </c>
      <c r="AZ14" s="1">
        <f t="shared" si="2"/>
        <v>135</v>
      </c>
      <c r="BA14" s="13" t="s">
        <v>28</v>
      </c>
      <c r="BB14" s="1">
        <v>25</v>
      </c>
      <c r="BC14" s="1">
        <v>25</v>
      </c>
      <c r="BD14" s="1">
        <v>25</v>
      </c>
      <c r="BE14" s="1">
        <v>10</v>
      </c>
      <c r="BF14" s="1">
        <v>15</v>
      </c>
      <c r="BG14" s="1">
        <v>0</v>
      </c>
      <c r="BJ14" s="16" t="e">
        <f t="shared" si="3"/>
        <v>#VALUE!</v>
      </c>
      <c r="BK14" s="16"/>
    </row>
    <row r="15" spans="1:63" ht="15" x14ac:dyDescent="0.3">
      <c r="A15" s="3" t="s">
        <v>29</v>
      </c>
      <c r="B15" s="4" t="s">
        <v>9</v>
      </c>
      <c r="C15" s="1">
        <v>0</v>
      </c>
      <c r="D15" s="1">
        <v>0</v>
      </c>
      <c r="E15" s="1">
        <v>0</v>
      </c>
      <c r="F15" s="1">
        <v>0</v>
      </c>
      <c r="G15" s="1">
        <v>15</v>
      </c>
      <c r="H15" s="1">
        <f t="shared" si="0"/>
        <v>15</v>
      </c>
      <c r="I15" s="1">
        <v>25</v>
      </c>
      <c r="J15" s="1">
        <v>15</v>
      </c>
      <c r="K15" s="1">
        <v>10</v>
      </c>
      <c r="L15" s="1">
        <v>10</v>
      </c>
      <c r="M15" s="1">
        <v>15</v>
      </c>
      <c r="N15" s="3" t="s">
        <v>29</v>
      </c>
      <c r="O15" s="1">
        <v>10</v>
      </c>
      <c r="P15" s="1">
        <v>25</v>
      </c>
      <c r="Q15" s="1">
        <v>25</v>
      </c>
      <c r="R15" s="1">
        <v>0</v>
      </c>
      <c r="S15" s="1">
        <v>15</v>
      </c>
      <c r="T15" s="11">
        <f t="shared" si="1"/>
        <v>75</v>
      </c>
      <c r="U15" s="3" t="s">
        <v>29</v>
      </c>
      <c r="V15" s="1">
        <v>10</v>
      </c>
      <c r="W15" s="1">
        <v>15</v>
      </c>
      <c r="X15" s="1">
        <v>25</v>
      </c>
      <c r="Y15" s="1">
        <v>5</v>
      </c>
      <c r="Z15" s="1">
        <v>15</v>
      </c>
      <c r="AA15" s="11">
        <f t="shared" si="4"/>
        <v>70</v>
      </c>
      <c r="AB15" s="3" t="s">
        <v>29</v>
      </c>
      <c r="AC15" s="1">
        <v>10</v>
      </c>
      <c r="AD15" s="1">
        <v>25</v>
      </c>
      <c r="AE15" s="1">
        <v>25</v>
      </c>
      <c r="AF15" s="1">
        <v>5</v>
      </c>
      <c r="AG15" s="1">
        <v>15</v>
      </c>
      <c r="AH15" s="13" t="s">
        <v>29</v>
      </c>
      <c r="AI15" s="1">
        <v>15</v>
      </c>
      <c r="AJ15" s="1">
        <v>15</v>
      </c>
      <c r="AK15" s="1">
        <v>25</v>
      </c>
      <c r="AL15" s="1">
        <v>5</v>
      </c>
      <c r="AM15" s="1">
        <v>15</v>
      </c>
      <c r="AN15" s="13" t="s">
        <v>29</v>
      </c>
      <c r="AO15" s="1">
        <v>15</v>
      </c>
      <c r="AP15" s="1">
        <v>25</v>
      </c>
      <c r="AQ15" s="1">
        <v>25</v>
      </c>
      <c r="AR15" s="1">
        <v>5</v>
      </c>
      <c r="AS15" s="1">
        <v>15</v>
      </c>
      <c r="AT15" s="13" t="s">
        <v>29</v>
      </c>
      <c r="AU15" s="1">
        <v>15</v>
      </c>
      <c r="AV15" s="1">
        <v>25</v>
      </c>
      <c r="AW15" s="1">
        <v>25</v>
      </c>
      <c r="AX15" s="1">
        <v>5</v>
      </c>
      <c r="AY15" s="1">
        <v>15</v>
      </c>
      <c r="AZ15" s="1">
        <f t="shared" si="2"/>
        <v>85</v>
      </c>
      <c r="BA15" s="13" t="s">
        <v>29</v>
      </c>
      <c r="BB15" s="1">
        <v>10</v>
      </c>
      <c r="BC15" s="1">
        <v>25</v>
      </c>
      <c r="BD15" s="1">
        <v>25</v>
      </c>
      <c r="BE15" s="1">
        <v>0</v>
      </c>
      <c r="BF15" s="1">
        <v>25</v>
      </c>
      <c r="BG15" s="1">
        <v>0</v>
      </c>
      <c r="BJ15" s="16" t="e">
        <f t="shared" si="3"/>
        <v>#VALUE!</v>
      </c>
      <c r="BK15" s="16"/>
    </row>
    <row r="16" spans="1:63" ht="15" x14ac:dyDescent="0.3">
      <c r="A16" s="3" t="s">
        <v>30</v>
      </c>
      <c r="B16" s="4" t="s">
        <v>9</v>
      </c>
      <c r="C16" s="1">
        <v>10</v>
      </c>
      <c r="D16" s="1">
        <v>10</v>
      </c>
      <c r="E16" s="1">
        <v>10</v>
      </c>
      <c r="F16" s="1">
        <v>0</v>
      </c>
      <c r="G16" s="1">
        <v>15</v>
      </c>
      <c r="H16" s="1">
        <f t="shared" si="0"/>
        <v>45</v>
      </c>
      <c r="I16" s="1">
        <v>15</v>
      </c>
      <c r="J16" s="1">
        <v>25</v>
      </c>
      <c r="K16" s="1">
        <v>25</v>
      </c>
      <c r="L16" s="1">
        <v>25</v>
      </c>
      <c r="M16" s="1">
        <v>15</v>
      </c>
      <c r="N16" s="3" t="s">
        <v>30</v>
      </c>
      <c r="O16" s="1">
        <v>10</v>
      </c>
      <c r="P16" s="1">
        <v>10</v>
      </c>
      <c r="Q16" s="1">
        <v>10</v>
      </c>
      <c r="R16" s="1">
        <v>0</v>
      </c>
      <c r="S16" s="1">
        <v>15</v>
      </c>
      <c r="T16" s="11">
        <f t="shared" si="1"/>
        <v>45</v>
      </c>
      <c r="U16" s="3" t="s">
        <v>30</v>
      </c>
      <c r="V16" s="1">
        <v>15</v>
      </c>
      <c r="W16" s="1">
        <v>25</v>
      </c>
      <c r="X16" s="1">
        <v>25</v>
      </c>
      <c r="Y16" s="1">
        <v>25</v>
      </c>
      <c r="Z16" s="1">
        <v>15</v>
      </c>
      <c r="AA16" s="11">
        <f t="shared" si="4"/>
        <v>105</v>
      </c>
      <c r="AB16" s="3" t="s">
        <v>30</v>
      </c>
      <c r="AC16" s="1">
        <v>15</v>
      </c>
      <c r="AD16" s="1">
        <v>25</v>
      </c>
      <c r="AE16" s="1">
        <v>25</v>
      </c>
      <c r="AF16" s="1">
        <v>25</v>
      </c>
      <c r="AG16" s="1">
        <v>15</v>
      </c>
      <c r="AH16" s="13" t="s">
        <v>30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3" t="s">
        <v>30</v>
      </c>
      <c r="AO16" s="1">
        <v>25</v>
      </c>
      <c r="AP16" s="1">
        <v>25</v>
      </c>
      <c r="AQ16" s="1">
        <v>25</v>
      </c>
      <c r="AR16" s="1">
        <v>25</v>
      </c>
      <c r="AS16" s="1">
        <v>15</v>
      </c>
      <c r="AT16" s="13" t="s">
        <v>30</v>
      </c>
      <c r="AU16" s="1">
        <v>15</v>
      </c>
      <c r="AV16" s="1">
        <v>25</v>
      </c>
      <c r="AW16" s="1">
        <v>25</v>
      </c>
      <c r="AX16" s="1">
        <v>0</v>
      </c>
      <c r="AY16" s="1">
        <v>15</v>
      </c>
      <c r="AZ16" s="1">
        <f t="shared" si="2"/>
        <v>80</v>
      </c>
      <c r="BA16" s="13" t="s">
        <v>30</v>
      </c>
      <c r="BB16" s="1">
        <v>0</v>
      </c>
      <c r="BC16" s="1">
        <v>0</v>
      </c>
      <c r="BD16" s="1">
        <v>25</v>
      </c>
      <c r="BE16" s="1">
        <v>0</v>
      </c>
      <c r="BF16" s="1">
        <v>0</v>
      </c>
      <c r="BG16" s="1">
        <v>0</v>
      </c>
      <c r="BJ16" s="16" t="e">
        <f t="shared" si="3"/>
        <v>#VALUE!</v>
      </c>
      <c r="BK16" s="16"/>
    </row>
    <row r="17" spans="1:63" ht="15" x14ac:dyDescent="0.3">
      <c r="A17" s="2" t="s">
        <v>31</v>
      </c>
      <c r="B17" s="4" t="s">
        <v>9</v>
      </c>
      <c r="C17" s="1">
        <v>10</v>
      </c>
      <c r="D17" s="1">
        <v>10</v>
      </c>
      <c r="E17" s="1">
        <v>10</v>
      </c>
      <c r="F17" s="1">
        <v>0</v>
      </c>
      <c r="G17" s="1">
        <v>15</v>
      </c>
      <c r="H17" s="1">
        <f t="shared" si="0"/>
        <v>45</v>
      </c>
      <c r="I17" s="1">
        <v>25</v>
      </c>
      <c r="J17" s="1">
        <v>25</v>
      </c>
      <c r="K17" s="1">
        <v>15</v>
      </c>
      <c r="L17" s="1">
        <v>10</v>
      </c>
      <c r="M17" s="1">
        <v>15</v>
      </c>
      <c r="N17" s="2" t="s">
        <v>31</v>
      </c>
      <c r="O17" s="1">
        <v>10</v>
      </c>
      <c r="P17" s="1">
        <v>10</v>
      </c>
      <c r="Q17" s="1">
        <v>15</v>
      </c>
      <c r="R17" s="1">
        <v>0</v>
      </c>
      <c r="S17" s="1">
        <v>15</v>
      </c>
      <c r="T17" s="11">
        <f t="shared" si="1"/>
        <v>50</v>
      </c>
      <c r="U17" s="2" t="s">
        <v>31</v>
      </c>
      <c r="V17" s="1">
        <v>15</v>
      </c>
      <c r="W17" s="1">
        <v>25</v>
      </c>
      <c r="X17" s="1">
        <v>25</v>
      </c>
      <c r="Y17" s="1">
        <v>25</v>
      </c>
      <c r="Z17" s="1">
        <v>15</v>
      </c>
      <c r="AA17" s="11">
        <f t="shared" si="4"/>
        <v>105</v>
      </c>
      <c r="AB17" s="2" t="s">
        <v>31</v>
      </c>
      <c r="AC17" s="1">
        <v>15</v>
      </c>
      <c r="AD17" s="1">
        <v>25</v>
      </c>
      <c r="AE17" s="1">
        <v>25</v>
      </c>
      <c r="AF17" s="1">
        <v>25</v>
      </c>
      <c r="AG17" s="1">
        <v>15</v>
      </c>
      <c r="AH17" s="13" t="s">
        <v>31</v>
      </c>
      <c r="AI17" s="1">
        <v>15</v>
      </c>
      <c r="AJ17" s="1">
        <v>25</v>
      </c>
      <c r="AK17" s="1">
        <v>25</v>
      </c>
      <c r="AL17" s="1">
        <v>25</v>
      </c>
      <c r="AM17" s="1">
        <v>15</v>
      </c>
      <c r="AN17" s="13" t="s">
        <v>31</v>
      </c>
      <c r="AO17" s="1">
        <v>15</v>
      </c>
      <c r="AP17" s="1">
        <v>25</v>
      </c>
      <c r="AQ17" s="1">
        <v>25</v>
      </c>
      <c r="AR17" s="1">
        <v>25</v>
      </c>
      <c r="AS17" s="1">
        <v>15</v>
      </c>
      <c r="AT17" s="13" t="s">
        <v>31</v>
      </c>
      <c r="AU17" s="1">
        <v>25</v>
      </c>
      <c r="AV17" s="1">
        <v>25</v>
      </c>
      <c r="AW17" s="1">
        <v>25</v>
      </c>
      <c r="AX17" s="1">
        <v>25</v>
      </c>
      <c r="AY17" s="1">
        <v>15</v>
      </c>
      <c r="AZ17" s="1">
        <f t="shared" si="2"/>
        <v>115</v>
      </c>
      <c r="BA17" s="13" t="s">
        <v>31</v>
      </c>
      <c r="BB17" s="1">
        <v>25</v>
      </c>
      <c r="BC17" s="1">
        <v>25</v>
      </c>
      <c r="BD17" s="1">
        <v>25</v>
      </c>
      <c r="BE17" s="1">
        <v>20</v>
      </c>
      <c r="BF17" s="1">
        <v>25</v>
      </c>
      <c r="BG17" s="1">
        <v>0</v>
      </c>
      <c r="BJ17" s="16" t="e">
        <f t="shared" si="3"/>
        <v>#VALUE!</v>
      </c>
      <c r="BK17" s="16"/>
    </row>
    <row r="18" spans="1:63" ht="15" x14ac:dyDescent="0.3">
      <c r="A18" s="2" t="s">
        <v>32</v>
      </c>
      <c r="B18" s="4" t="s">
        <v>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f t="shared" si="0"/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2" t="s">
        <v>32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1">
        <f t="shared" si="1"/>
        <v>0</v>
      </c>
      <c r="U18" s="2" t="s">
        <v>32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1">
        <f t="shared" si="4"/>
        <v>0</v>
      </c>
      <c r="AB18" s="2" t="s">
        <v>32</v>
      </c>
      <c r="AC18" s="1">
        <v>15</v>
      </c>
      <c r="AD18" s="1">
        <v>25</v>
      </c>
      <c r="AE18" s="1">
        <v>25</v>
      </c>
      <c r="AF18" s="1">
        <v>0</v>
      </c>
      <c r="AG18" s="1">
        <v>15</v>
      </c>
      <c r="AH18" s="13" t="s">
        <v>32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3" t="s">
        <v>32</v>
      </c>
      <c r="AO18" s="1">
        <v>15</v>
      </c>
      <c r="AP18" s="1">
        <v>25</v>
      </c>
      <c r="AQ18" s="1">
        <v>25</v>
      </c>
      <c r="AR18" s="1">
        <v>5</v>
      </c>
      <c r="AS18" s="1">
        <v>15</v>
      </c>
      <c r="AT18" s="13" t="s">
        <v>32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f t="shared" si="2"/>
        <v>0</v>
      </c>
      <c r="BA18" s="13" t="s">
        <v>32</v>
      </c>
      <c r="BB18" s="1">
        <v>0</v>
      </c>
      <c r="BC18" s="1">
        <v>0</v>
      </c>
      <c r="BD18" s="1">
        <v>25</v>
      </c>
      <c r="BE18" s="1">
        <v>0</v>
      </c>
      <c r="BF18" s="1">
        <v>0</v>
      </c>
      <c r="BG18" s="1">
        <v>0</v>
      </c>
      <c r="BJ18" s="16" t="e">
        <f>SUM(H18+N18+AA18+T18+AH18+AN18+AT18+AZ18)</f>
        <v>#VALUE!</v>
      </c>
      <c r="BK18" s="16"/>
    </row>
    <row r="19" spans="1:63" ht="15" x14ac:dyDescent="0.3">
      <c r="A19" s="7"/>
    </row>
    <row r="23" spans="1:63" x14ac:dyDescent="0.3">
      <c r="B23" t="s">
        <v>33</v>
      </c>
    </row>
    <row r="24" spans="1:63" ht="15" x14ac:dyDescent="0.3">
      <c r="A24" s="2"/>
      <c r="B24" s="6" t="s">
        <v>10</v>
      </c>
      <c r="C24" s="6" t="s">
        <v>11</v>
      </c>
      <c r="D24" s="6" t="s">
        <v>12</v>
      </c>
      <c r="E24" s="6" t="s">
        <v>13</v>
      </c>
      <c r="F24" s="6" t="s">
        <v>14</v>
      </c>
      <c r="G24" s="12" t="s">
        <v>34</v>
      </c>
    </row>
    <row r="25" spans="1:63" ht="15" x14ac:dyDescent="0.3">
      <c r="A25" s="2" t="s">
        <v>17</v>
      </c>
      <c r="B25">
        <f>C3+I3+O3+V3+AC3+AI3+AO3+AU3+BB3</f>
        <v>125</v>
      </c>
      <c r="C25">
        <f>D3+J3+W3+AD3+AJ3+AP3+AV3+BC3</f>
        <v>185</v>
      </c>
      <c r="D25">
        <f>E3+K3+Q3+X3+AE3+AK3+AQ3+AW3+BD3</f>
        <v>200</v>
      </c>
      <c r="E25">
        <f>F3+L3+R3+Y3+AF3+AL3+AR3+AX3+BE3</f>
        <v>100</v>
      </c>
      <c r="F25">
        <f>G3+M3+S3+Z3+AG3+AM3+AS3+AY3+BF3</f>
        <v>130</v>
      </c>
      <c r="G25">
        <f>SUM(B25:F25)</f>
        <v>740</v>
      </c>
    </row>
    <row r="26" spans="1:63" ht="15" x14ac:dyDescent="0.3">
      <c r="A26" s="3" t="s">
        <v>18</v>
      </c>
      <c r="B26">
        <f t="shared" ref="B26:B40" si="5">C4+I4+O4+V4+AC4+AI4+AO4+AU4+BB4</f>
        <v>105</v>
      </c>
      <c r="C26">
        <f t="shared" ref="C26:C40" si="6">D4+J4+W4+AD4+AJ4+AP4+AV4+BC4</f>
        <v>105</v>
      </c>
      <c r="D26">
        <f t="shared" ref="D26:D40" si="7">E4+K4+Q4+X4+AE4+AK4+AQ4+AW4+BD4</f>
        <v>125</v>
      </c>
      <c r="E26">
        <f t="shared" ref="E26:E40" si="8">F4+L4+R4+Y4+AF4+AL4+AR4+AX4+BE4</f>
        <v>55</v>
      </c>
      <c r="F26">
        <f t="shared" ref="F26:F40" si="9">G4+M4+S4+Z4+AG4+AM4+AS4+AY4+BF4</f>
        <v>85</v>
      </c>
      <c r="G26">
        <f t="shared" ref="G26:G40" si="10">SUM(B26:F26)</f>
        <v>475</v>
      </c>
    </row>
    <row r="27" spans="1:63" ht="15" x14ac:dyDescent="0.3">
      <c r="A27" s="2" t="s">
        <v>19</v>
      </c>
      <c r="B27">
        <f t="shared" si="5"/>
        <v>150</v>
      </c>
      <c r="C27">
        <f t="shared" si="6"/>
        <v>200</v>
      </c>
      <c r="D27">
        <f t="shared" si="7"/>
        <v>200</v>
      </c>
      <c r="E27">
        <f t="shared" si="8"/>
        <v>80</v>
      </c>
      <c r="F27">
        <f t="shared" si="9"/>
        <v>145</v>
      </c>
      <c r="G27">
        <f t="shared" si="10"/>
        <v>775</v>
      </c>
    </row>
    <row r="28" spans="1:63" ht="15" x14ac:dyDescent="0.3">
      <c r="A28" s="3" t="s">
        <v>20</v>
      </c>
      <c r="B28">
        <f t="shared" si="5"/>
        <v>140</v>
      </c>
      <c r="C28">
        <f t="shared" si="6"/>
        <v>135</v>
      </c>
      <c r="D28">
        <f t="shared" si="7"/>
        <v>180</v>
      </c>
      <c r="E28">
        <f t="shared" si="8"/>
        <v>50</v>
      </c>
      <c r="F28">
        <f t="shared" si="9"/>
        <v>130</v>
      </c>
      <c r="G28">
        <f t="shared" si="10"/>
        <v>635</v>
      </c>
    </row>
    <row r="29" spans="1:63" ht="15" x14ac:dyDescent="0.3">
      <c r="A29" s="2" t="s">
        <v>21</v>
      </c>
      <c r="B29">
        <f t="shared" si="5"/>
        <v>180</v>
      </c>
      <c r="C29">
        <f t="shared" si="6"/>
        <v>130</v>
      </c>
      <c r="D29">
        <f t="shared" si="7"/>
        <v>165</v>
      </c>
      <c r="E29">
        <f t="shared" si="8"/>
        <v>60</v>
      </c>
      <c r="F29">
        <f t="shared" si="9"/>
        <v>130</v>
      </c>
      <c r="G29">
        <f t="shared" si="10"/>
        <v>665</v>
      </c>
    </row>
    <row r="30" spans="1:63" ht="15" x14ac:dyDescent="0.3">
      <c r="A30" s="3" t="s">
        <v>22</v>
      </c>
      <c r="B30">
        <f t="shared" si="5"/>
        <v>200</v>
      </c>
      <c r="C30">
        <f t="shared" si="6"/>
        <v>175</v>
      </c>
      <c r="D30">
        <f t="shared" si="7"/>
        <v>215</v>
      </c>
      <c r="E30">
        <f t="shared" si="8"/>
        <v>70</v>
      </c>
      <c r="F30">
        <f t="shared" si="9"/>
        <v>145</v>
      </c>
      <c r="G30">
        <f t="shared" si="10"/>
        <v>805</v>
      </c>
    </row>
    <row r="31" spans="1:63" ht="15" x14ac:dyDescent="0.3">
      <c r="A31" s="2" t="s">
        <v>23</v>
      </c>
      <c r="B31">
        <f t="shared" si="5"/>
        <v>105</v>
      </c>
      <c r="C31">
        <f t="shared" si="6"/>
        <v>135</v>
      </c>
      <c r="D31">
        <f t="shared" si="7"/>
        <v>180</v>
      </c>
      <c r="E31">
        <f t="shared" si="8"/>
        <v>85</v>
      </c>
      <c r="F31">
        <f t="shared" si="9"/>
        <v>145</v>
      </c>
      <c r="G31">
        <f t="shared" si="10"/>
        <v>650</v>
      </c>
    </row>
    <row r="32" spans="1:63" ht="15" x14ac:dyDescent="0.3">
      <c r="A32" s="3" t="s">
        <v>24</v>
      </c>
      <c r="B32">
        <f t="shared" si="5"/>
        <v>185</v>
      </c>
      <c r="C32">
        <f t="shared" si="6"/>
        <v>160</v>
      </c>
      <c r="D32">
        <f t="shared" si="7"/>
        <v>205</v>
      </c>
      <c r="E32">
        <f t="shared" si="8"/>
        <v>75</v>
      </c>
      <c r="F32">
        <f t="shared" si="9"/>
        <v>145</v>
      </c>
      <c r="G32">
        <f t="shared" si="10"/>
        <v>770</v>
      </c>
    </row>
    <row r="33" spans="1:7" ht="15" x14ac:dyDescent="0.3">
      <c r="A33" s="2" t="s">
        <v>25</v>
      </c>
      <c r="B33">
        <f t="shared" si="5"/>
        <v>140</v>
      </c>
      <c r="C33">
        <f t="shared" si="6"/>
        <v>105</v>
      </c>
      <c r="D33">
        <f t="shared" si="7"/>
        <v>150</v>
      </c>
      <c r="E33">
        <f t="shared" si="8"/>
        <v>95</v>
      </c>
      <c r="F33">
        <f t="shared" si="9"/>
        <v>75</v>
      </c>
      <c r="G33">
        <f t="shared" si="10"/>
        <v>565</v>
      </c>
    </row>
    <row r="34" spans="1:7" ht="15" x14ac:dyDescent="0.3">
      <c r="A34" s="3" t="s">
        <v>26</v>
      </c>
      <c r="B34">
        <f t="shared" si="5"/>
        <v>215</v>
      </c>
      <c r="C34">
        <f t="shared" si="6"/>
        <v>175</v>
      </c>
      <c r="D34">
        <f t="shared" si="7"/>
        <v>200</v>
      </c>
      <c r="E34">
        <f t="shared" si="8"/>
        <v>55</v>
      </c>
      <c r="F34">
        <f t="shared" si="9"/>
        <v>145</v>
      </c>
      <c r="G34">
        <f t="shared" si="10"/>
        <v>790</v>
      </c>
    </row>
    <row r="35" spans="1:7" ht="15" x14ac:dyDescent="0.3">
      <c r="A35" s="2" t="s">
        <v>27</v>
      </c>
      <c r="B35">
        <f t="shared" si="5"/>
        <v>200</v>
      </c>
      <c r="C35">
        <f t="shared" si="6"/>
        <v>150</v>
      </c>
      <c r="D35">
        <f t="shared" si="7"/>
        <v>200</v>
      </c>
      <c r="E35">
        <f t="shared" si="8"/>
        <v>50</v>
      </c>
      <c r="F35">
        <f t="shared" si="9"/>
        <v>130</v>
      </c>
      <c r="G35">
        <f t="shared" si="10"/>
        <v>730</v>
      </c>
    </row>
    <row r="36" spans="1:7" ht="15" x14ac:dyDescent="0.3">
      <c r="A36" s="3" t="s">
        <v>28</v>
      </c>
      <c r="B36">
        <f t="shared" si="5"/>
        <v>80</v>
      </c>
      <c r="C36">
        <f t="shared" si="6"/>
        <v>135</v>
      </c>
      <c r="D36">
        <f t="shared" si="7"/>
        <v>130</v>
      </c>
      <c r="E36">
        <f t="shared" si="8"/>
        <v>95</v>
      </c>
      <c r="F36">
        <f t="shared" si="9"/>
        <v>90</v>
      </c>
      <c r="G36">
        <f t="shared" si="10"/>
        <v>530</v>
      </c>
    </row>
    <row r="37" spans="1:7" ht="15" x14ac:dyDescent="0.3">
      <c r="A37" s="3" t="s">
        <v>29</v>
      </c>
      <c r="B37">
        <f t="shared" si="5"/>
        <v>110</v>
      </c>
      <c r="C37">
        <f t="shared" si="6"/>
        <v>145</v>
      </c>
      <c r="D37">
        <f t="shared" si="7"/>
        <v>185</v>
      </c>
      <c r="E37">
        <f t="shared" si="8"/>
        <v>35</v>
      </c>
      <c r="F37">
        <f t="shared" si="9"/>
        <v>145</v>
      </c>
      <c r="G37">
        <f t="shared" si="10"/>
        <v>620</v>
      </c>
    </row>
    <row r="38" spans="1:7" ht="15" x14ac:dyDescent="0.3">
      <c r="A38" s="3" t="s">
        <v>30</v>
      </c>
      <c r="B38">
        <f t="shared" si="5"/>
        <v>105</v>
      </c>
      <c r="C38">
        <f t="shared" si="6"/>
        <v>135</v>
      </c>
      <c r="D38">
        <f t="shared" si="7"/>
        <v>170</v>
      </c>
      <c r="E38">
        <f t="shared" si="8"/>
        <v>100</v>
      </c>
      <c r="F38">
        <f t="shared" si="9"/>
        <v>105</v>
      </c>
      <c r="G38">
        <f t="shared" si="10"/>
        <v>615</v>
      </c>
    </row>
    <row r="39" spans="1:7" ht="15" x14ac:dyDescent="0.3">
      <c r="A39" s="2" t="s">
        <v>31</v>
      </c>
      <c r="B39">
        <f t="shared" si="5"/>
        <v>155</v>
      </c>
      <c r="C39">
        <f t="shared" si="6"/>
        <v>185</v>
      </c>
      <c r="D39">
        <f t="shared" si="7"/>
        <v>190</v>
      </c>
      <c r="E39">
        <f t="shared" si="8"/>
        <v>155</v>
      </c>
      <c r="F39">
        <f t="shared" si="9"/>
        <v>145</v>
      </c>
      <c r="G39">
        <f t="shared" si="10"/>
        <v>830</v>
      </c>
    </row>
    <row r="40" spans="1:7" ht="15" x14ac:dyDescent="0.3">
      <c r="A40" s="2" t="s">
        <v>32</v>
      </c>
      <c r="B40">
        <f t="shared" si="5"/>
        <v>30</v>
      </c>
      <c r="C40">
        <f t="shared" si="6"/>
        <v>50</v>
      </c>
      <c r="D40">
        <f t="shared" si="7"/>
        <v>75</v>
      </c>
      <c r="E40">
        <f t="shared" si="8"/>
        <v>5</v>
      </c>
      <c r="F40">
        <f t="shared" si="9"/>
        <v>30</v>
      </c>
      <c r="G40">
        <f t="shared" si="10"/>
        <v>190</v>
      </c>
    </row>
  </sheetData>
  <mergeCells count="27">
    <mergeCell ref="BJ17:BK17"/>
    <mergeCell ref="BJ18:BK18"/>
    <mergeCell ref="BJ11:BK11"/>
    <mergeCell ref="BJ12:BK12"/>
    <mergeCell ref="BJ13:BK13"/>
    <mergeCell ref="BJ14:BK14"/>
    <mergeCell ref="BJ15:BK15"/>
    <mergeCell ref="BJ7:BK7"/>
    <mergeCell ref="BJ8:BK8"/>
    <mergeCell ref="BJ9:BK9"/>
    <mergeCell ref="BJ10:BK10"/>
    <mergeCell ref="BJ16:BK16"/>
    <mergeCell ref="BJ2:BK2"/>
    <mergeCell ref="BJ3:BK3"/>
    <mergeCell ref="BJ4:BK4"/>
    <mergeCell ref="BJ5:BK5"/>
    <mergeCell ref="BJ6:BK6"/>
    <mergeCell ref="C1:H1"/>
    <mergeCell ref="I1:N1"/>
    <mergeCell ref="O1:T1"/>
    <mergeCell ref="V1:AA1"/>
    <mergeCell ref="BJ1:BK1"/>
    <mergeCell ref="BB1:BG1"/>
    <mergeCell ref="AC1:AH1"/>
    <mergeCell ref="AI1:AN1"/>
    <mergeCell ref="AO1:AT1"/>
    <mergeCell ref="AU1:AZ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ARIO</cp:lastModifiedBy>
  <cp:revision/>
  <dcterms:created xsi:type="dcterms:W3CDTF">2026-05-10T23:27:12Z</dcterms:created>
  <dcterms:modified xsi:type="dcterms:W3CDTF">2026-06-16T04:51:39Z</dcterms:modified>
  <cp:category/>
  <cp:contentStatus/>
</cp:coreProperties>
</file>